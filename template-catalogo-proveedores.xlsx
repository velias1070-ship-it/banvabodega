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cols>
    <col min="1" max="1" width="22.83203125" customWidth="1"/>
    <col min="2" max="2" width="50.83203125" customWidth="1"/>
    <col min="3" max="3" width="16.83203125" customWidth="1"/>
    <col min="4" max="4" width="12.83203125" customWidth="1"/>
    <col min="5" max="5" width="14.83203125" customWidth="1"/>
    <col min="6" max="6" width="22.83203125" customWidth="1"/>
    <col min="7" max="7" width="6.83203125" customWidth="1"/>
    <col min="8" max="8" width="14.83203125" customWidth="1"/>
    <col min="9" max="9" width="18.83203125" customWidth="1"/>
  </cols>
  <sheetData>
    <row r="1">
      <c r="A1" t="str">
        <v>TEMPLATE CARGA DE PRECIOS — Catálogo Proveedor (no Idetex)</v>
      </c>
    </row>
    <row r="3">
      <c r="A3" t="str">
        <v>INSTRUCCIONES:</v>
      </c>
    </row>
    <row r="4">
      <c r="A4" t="str">
        <v>1. Completar SOLO la columna 'precio_neto' (en pesos, sin IVA).</v>
      </c>
    </row>
    <row r="5">
      <c r="A5" t="str">
        <v>2. NO modificar las columnas sku, nombre, proveedor, inner_pack.</v>
      </c>
    </row>
    <row r="6">
      <c r="A6" t="str">
        <v>3. La columna 'wac_actual_referencia' es informativa: muestra el costo promedio actual del sistema.</v>
      </c>
    </row>
    <row r="7">
      <c r="A7" t="str">
        <v>4. Si el precio nuevo difiere &gt;15% del WAC, revisar si hubo cambio real de precio o error de carga.</v>
      </c>
    </row>
    <row r="8">
      <c r="A8" t="str">
        <v>5. Dejar VACÍO si no se conoce — esos SKUs quedan en cascada (última recepción → WAC) hasta que cargues.</v>
      </c>
    </row>
    <row r="10">
      <c r="A10" t="str">
        <v>sku</v>
      </c>
      <c r="B10" t="str">
        <v>nombre</v>
      </c>
      <c r="C10" t="str">
        <v>proveedor</v>
      </c>
      <c r="D10" t="str">
        <v>inner_pack</v>
      </c>
      <c r="E10" t="str">
        <v>precio_neto</v>
      </c>
      <c r="F10" t="str">
        <v>wac_actual_referencia</v>
      </c>
      <c r="G10" t="str">
        <v>abc</v>
      </c>
      <c r="H10" t="str">
        <v>cuadrante</v>
      </c>
      <c r="I10" t="str">
        <v>diff_vs_wac_pct</v>
      </c>
    </row>
    <row r="11">
      <c r="A11" t="str">
        <v>9788481693263</v>
      </c>
      <c r="B11" t="str">
        <v>La Biblia Latinoamericana Bolsillo Tapa Dura Color Editorial Verbo Divino</v>
      </c>
      <c r="C11" t="str">
        <v>Verbo Divino</v>
      </c>
      <c r="D11">
        <v>1</v>
      </c>
      <c r="E11" t="str">
        <v/>
      </c>
      <c r="F11">
        <v>8194</v>
      </c>
      <c r="G11" t="str">
        <v>A</v>
      </c>
      <c r="H11" t="str">
        <v>ESTRELLA</v>
      </c>
      <c r="I11" s="1">
        <f>IF(AND(E11&gt;0,F11&gt;0),ROUND(100*(E11-F11)/F11,1),"")</f>
      </c>
    </row>
    <row r="12">
      <c r="A12" t="str">
        <v>9788471511348</v>
      </c>
      <c r="B12" t="str">
        <v>Biblia Normal</v>
      </c>
      <c r="C12" t="str">
        <v>Verbo Divino</v>
      </c>
      <c r="D12">
        <v>1</v>
      </c>
      <c r="E12" t="str">
        <v/>
      </c>
      <c r="F12">
        <v>10925</v>
      </c>
      <c r="G12" t="str">
        <v>A</v>
      </c>
      <c r="H12" t="str">
        <v>ESTRELLA</v>
      </c>
      <c r="I12" s="1">
        <f>IF(AND(E12&gt;0,F12&gt;0),ROUND(100*(E12-F12)/F12,1),"")</f>
      </c>
    </row>
    <row r="13">
      <c r="A13" t="str">
        <v>9788490736609</v>
      </c>
      <c r="B13" t="str">
        <v>Biblia Catolica Para Jovenes Edicion Dos Tintas T.dura</v>
      </c>
      <c r="C13" t="str">
        <v>Verbo Divino</v>
      </c>
      <c r="D13">
        <v>1</v>
      </c>
      <c r="E13" t="str">
        <v/>
      </c>
      <c r="F13">
        <v>18572</v>
      </c>
      <c r="G13" t="str">
        <v>A</v>
      </c>
      <c r="H13" t="str">
        <v>CASHCOW</v>
      </c>
      <c r="I13" s="1">
        <f>IF(AND(E13&gt;0,F13&gt;0),ROUND(100*(E13-F13)/F13,1),"")</f>
      </c>
    </row>
    <row r="14">
      <c r="A14" t="str">
        <v>9788481693232</v>
      </c>
      <c r="B14" t="str">
        <v>Biblia Letra grande Sin uñero</v>
      </c>
      <c r="C14" t="str">
        <v>Verbo Divino</v>
      </c>
      <c r="D14">
        <v>1</v>
      </c>
      <c r="E14" t="str">
        <v/>
      </c>
      <c r="F14">
        <v>14202</v>
      </c>
      <c r="G14" t="str">
        <v>B</v>
      </c>
      <c r="H14" t="str">
        <v>REVISAR</v>
      </c>
      <c r="I14" s="1">
        <f>IF(AND(E14&gt;0,F14&gt;0),ROUND(100*(E14-F14)/F14,1),"")</f>
      </c>
    </row>
    <row r="15">
      <c r="A15" t="str">
        <v>9788433030467</v>
      </c>
      <c r="B15" t="str">
        <v>Biblia De Jerusalen 5ta Edicion - Desclee</v>
      </c>
      <c r="C15" t="str">
        <v>Verbo Divino</v>
      </c>
      <c r="D15">
        <v>1</v>
      </c>
      <c r="E15" t="str">
        <v/>
      </c>
      <c r="F15">
        <v>31955</v>
      </c>
      <c r="G15" t="str">
        <v>C</v>
      </c>
      <c r="H15" t="str">
        <v>REVISAR</v>
      </c>
      <c r="I15" s="1">
        <f>IF(AND(E15&gt;0,F15&gt;0),ROUND(100*(E15-F15)/F15,1),"")</f>
      </c>
    </row>
    <row r="16">
      <c r="A16" t="str">
        <v>9788499451114</v>
      </c>
      <c r="B16" t="str">
        <v>Biblia Latinoamerica De Bolsillo Bernardo con uñero</v>
      </c>
      <c r="C16" t="str">
        <v>Verbo Divino</v>
      </c>
      <c r="D16">
        <v>1</v>
      </c>
      <c r="E16" t="str">
        <v/>
      </c>
      <c r="F16">
        <v>11198</v>
      </c>
      <c r="G16" t="str">
        <v>C</v>
      </c>
      <c r="H16" t="str">
        <v>REVISAR</v>
      </c>
      <c r="I16" s="1">
        <f>IF(AND(E16&gt;0,F16&gt;0),ROUND(100*(E16-F16)/F16,1),"")</f>
      </c>
    </row>
    <row r="17">
      <c r="A17" t="str">
        <v>9788490736630</v>
      </c>
      <c r="B17" t="str">
        <v>Biblia Catolica Para Jovenes Chica</v>
      </c>
      <c r="C17" t="str">
        <v>Verbo Divino</v>
      </c>
      <c r="D17">
        <v>1</v>
      </c>
      <c r="E17" t="str">
        <v/>
      </c>
      <c r="F17">
        <v>12353</v>
      </c>
      <c r="G17" t="str">
        <v>C</v>
      </c>
      <c r="H17" t="str">
        <v>REVISAR</v>
      </c>
      <c r="I17" s="1">
        <f>IF(AND(E17&gt;0,F17&gt;0),ROUND(100*(E17-F17)/F17,1),"")</f>
      </c>
    </row>
    <row r="18">
      <c r="A18" t="str">
        <v>9788481693294</v>
      </c>
      <c r="B18" t="str">
        <v>Biblia Bolsillo Blanca</v>
      </c>
      <c r="C18" t="str">
        <v>Verbo Divino</v>
      </c>
      <c r="D18">
        <v>1</v>
      </c>
      <c r="E18" t="str">
        <v/>
      </c>
      <c r="F18">
        <v>8403</v>
      </c>
      <c r="G18" t="str">
        <v>C</v>
      </c>
      <c r="H18" t="str">
        <v>REVISAR</v>
      </c>
      <c r="I18" s="1">
        <f>IF(AND(E18&gt;0,F18&gt;0),ROUND(100*(E18-F18)/F18,1),"")</f>
      </c>
    </row>
    <row r="19">
      <c r="A19" t="str">
        <v>9788433031075</v>
      </c>
      <c r="B19" t="str">
        <v>Biblia De Jerusalen Latinoamericana - La Gran Aventura</v>
      </c>
      <c r="C19" t="str">
        <v>Verbo Divino</v>
      </c>
      <c r="D19">
        <v>1</v>
      </c>
      <c r="E19" t="str">
        <v/>
      </c>
      <c r="F19">
        <v>40966</v>
      </c>
      <c r="G19" t="str">
        <v>C</v>
      </c>
      <c r="H19" t="str">
        <v>REVISAR</v>
      </c>
      <c r="I19" s="1">
        <f>IF(AND(E19&gt;0,F19&gt;0),ROUND(100*(E19-F19)/F19,1),"")</f>
      </c>
    </row>
    <row r="20">
      <c r="A20" t="str">
        <v>9788490734599</v>
      </c>
      <c r="B20" t="str">
        <v>Biblia Verbo Divino</v>
      </c>
      <c r="C20" t="str">
        <v>Verbo Divino</v>
      </c>
      <c r="D20">
        <v>1</v>
      </c>
      <c r="E20" t="str">
        <v/>
      </c>
      <c r="F20">
        <v>2521</v>
      </c>
      <c r="G20" t="str">
        <v>C</v>
      </c>
      <c r="H20" t="str">
        <v>REVISAR</v>
      </c>
      <c r="I20" s="1">
        <f>IF(AND(E20&gt;0,F20&gt;0),ROUND(100*(E20-F20)/F20,1),"")</f>
      </c>
    </row>
    <row r="21">
      <c r="A21" t="str">
        <v>9788481693270</v>
      </c>
      <c r="B21" t="str">
        <v>Biblia Bolsillo Nacarina</v>
      </c>
      <c r="C21" t="str">
        <v>Verbo Divino</v>
      </c>
      <c r="D21">
        <v>1</v>
      </c>
      <c r="E21" t="str">
        <v/>
      </c>
      <c r="F21">
        <v>6118</v>
      </c>
      <c r="G21" t="str">
        <v>C</v>
      </c>
      <c r="H21" t="str">
        <v>REVISAR</v>
      </c>
      <c r="I21" s="1">
        <f>IF(AND(E21&gt;0,F21&gt;0),ROUND(100*(E21-F21)/F21,1),"")</f>
      </c>
    </row>
    <row r="22">
      <c r="A22" t="str">
        <v>9788471510211</v>
      </c>
      <c r="B22" t="str">
        <v>La Biblia Del Niño / The Bible For Children</v>
      </c>
      <c r="C22" t="str">
        <v>Verbo Divino</v>
      </c>
      <c r="D22">
        <v>1</v>
      </c>
      <c r="E22" t="str">
        <v/>
      </c>
      <c r="F22">
        <v>2731</v>
      </c>
      <c r="G22" t="str">
        <v>C</v>
      </c>
      <c r="H22" t="str">
        <v>REVISAR</v>
      </c>
      <c r="I22" s="1">
        <f>IF(AND(E22&gt;0,F22&gt;0),ROUND(100*(E22-F22)/F22,1),"")</f>
      </c>
    </row>
    <row r="23">
      <c r="A23" t="str">
        <v>BIB-LA-11</v>
      </c>
      <c r="B23" t="str">
        <v>Biblia Letra Grande con uñero</v>
      </c>
      <c r="C23" t="str">
        <v>Verbo Divino</v>
      </c>
      <c r="D23">
        <v>1</v>
      </c>
      <c r="E23" t="str">
        <v/>
      </c>
      <c r="F23">
        <v>17647</v>
      </c>
      <c r="G23" t="str">
        <v>C</v>
      </c>
      <c r="H23" t="str">
        <v>REVISAR</v>
      </c>
      <c r="I23" s="1">
        <f>IF(AND(E23&gt;0,F23&gt;0),ROUND(100*(E23-F23)/F23,1),"")</f>
      </c>
    </row>
    <row r="24">
      <c r="A24" t="str">
        <v>PRO-LUX-27</v>
      </c>
      <c r="B24" t="str">
        <v>Caja Protector Termostato</v>
      </c>
      <c r="C24" t="str">
        <v>Container</v>
      </c>
      <c r="D24">
        <v>1</v>
      </c>
      <c r="E24" t="str">
        <v/>
      </c>
      <c r="F24">
        <v>2983</v>
      </c>
      <c r="G24" t="str">
        <v>A</v>
      </c>
      <c r="H24" t="str">
        <v>ESTRELLA</v>
      </c>
      <c r="I24" s="1">
        <f>IF(AND(E24&gt;0,F24&gt;0),ROUND(100*(E24-F24)/F24,1),"")</f>
      </c>
    </row>
    <row r="25">
      <c r="A25" t="str">
        <v>XYCMN405</v>
      </c>
      <c r="B25" t="str">
        <v>Botella Kit Niña Manualidades</v>
      </c>
      <c r="C25" t="str">
        <v>Container</v>
      </c>
      <c r="D25">
        <v>1</v>
      </c>
      <c r="E25" t="str">
        <v/>
      </c>
      <c r="F25">
        <v>4370</v>
      </c>
      <c r="G25" t="str">
        <v>A</v>
      </c>
      <c r="H25" t="str">
        <v>ESTRELLA</v>
      </c>
      <c r="I25" s="1">
        <f>IF(AND(E25&gt;0,F25&gt;0),ROUND(100*(E25-F25)/F25,1),"")</f>
      </c>
    </row>
    <row r="26">
      <c r="A26" t="str">
        <v>GR002</v>
      </c>
      <c r="B26" t="str">
        <v>Cubre Colchon Cuna Impermeable</v>
      </c>
      <c r="C26" t="str">
        <v>Container</v>
      </c>
      <c r="D26">
        <v>1</v>
      </c>
      <c r="E26" t="str">
        <v/>
      </c>
      <c r="F26">
        <v>3700</v>
      </c>
      <c r="G26" t="str">
        <v>A</v>
      </c>
      <c r="H26" t="str">
        <v>CASHCOW</v>
      </c>
      <c r="I26" s="1">
        <f>IF(AND(E26&gt;0,F26&gt;0),ROUND(100*(E26-F26)/F26,1),"")</f>
      </c>
    </row>
    <row r="27">
      <c r="A27" t="str">
        <v>MAN-FRA-ROS-00022</v>
      </c>
      <c r="B27" t="str">
        <v>Frazada saquito bebe</v>
      </c>
      <c r="C27" t="str">
        <v>Container</v>
      </c>
      <c r="D27">
        <v>1</v>
      </c>
      <c r="E27" t="str">
        <v/>
      </c>
      <c r="F27">
        <v>1471</v>
      </c>
      <c r="G27" t="str">
        <v>C</v>
      </c>
      <c r="H27" t="str">
        <v>REVISAR</v>
      </c>
      <c r="I27" s="1">
        <f>IF(AND(E27&gt;0,F27&gt;0),ROUND(100*(E27-F27)/F27,1),"")</f>
      </c>
    </row>
    <row r="28">
      <c r="A28" t="str">
        <v>BOLMATCUERNEGX4</v>
      </c>
      <c r="B28" t="str">
        <v>Bolso Matero Negro 4 compartimientos</v>
      </c>
      <c r="C28" t="str">
        <v>Materos</v>
      </c>
      <c r="D28">
        <v>1</v>
      </c>
      <c r="E28" t="str">
        <v/>
      </c>
      <c r="F28">
        <v>22000</v>
      </c>
      <c r="G28" t="str">
        <v>A</v>
      </c>
      <c r="H28" t="str">
        <v>ESTRELLA</v>
      </c>
      <c r="I28" s="1">
        <f>IF(AND(E28&gt;0,F28&gt;0),ROUND(100*(E28-F28)/F28,1),"")</f>
      </c>
    </row>
    <row r="29">
      <c r="A29" t="str">
        <v>BOLMATCUERCAFX4</v>
      </c>
      <c r="B29" t="str">
        <v>Bolso Matero Cafe 4 compartimientos</v>
      </c>
      <c r="C29" t="str">
        <v>Materos</v>
      </c>
      <c r="D29">
        <v>1</v>
      </c>
      <c r="E29" t="str">
        <v/>
      </c>
      <c r="F29">
        <v>22000</v>
      </c>
      <c r="G29" t="str">
        <v>A</v>
      </c>
      <c r="H29" t="str">
        <v>ESTRELLA</v>
      </c>
      <c r="I29" s="1">
        <f>IF(AND(E29&gt;0,F29&gt;0),ROUND(100*(E29-F29)/F29,1),"")</f>
      </c>
    </row>
    <row r="30">
      <c r="A30" t="str">
        <v>BOLMATCUERNEG2</v>
      </c>
      <c r="B30" t="str">
        <v>Bolso Matero Negro 2 compartimientos Chico</v>
      </c>
      <c r="C30" t="str">
        <v>Materos</v>
      </c>
      <c r="D30">
        <v>1</v>
      </c>
      <c r="E30" t="str">
        <v/>
      </c>
      <c r="F30">
        <v>16807</v>
      </c>
      <c r="G30" t="str">
        <v>A</v>
      </c>
      <c r="H30" t="str">
        <v>CASHCOW</v>
      </c>
      <c r="I30" s="1">
        <f>IF(AND(E30&gt;0,F30&gt;0),ROUND(100*(E30-F30)/F30,1),"")</f>
      </c>
    </row>
    <row r="31">
      <c r="A31" t="str">
        <v>BOLMATCUERCAF2</v>
      </c>
      <c r="B31" t="str">
        <v>Bolso Matero Cafe 2 compartimientos Chico</v>
      </c>
      <c r="C31" t="str">
        <v>Materos</v>
      </c>
      <c r="D31">
        <v>1</v>
      </c>
      <c r="E31" t="str">
        <v/>
      </c>
      <c r="F31">
        <v>16807</v>
      </c>
      <c r="G31" t="str">
        <v>B</v>
      </c>
      <c r="H31" t="str">
        <v>REVISAR</v>
      </c>
      <c r="I31" s="1">
        <f>IF(AND(E31&gt;0,F31&gt;0),ROUND(100*(E31-F31)/F31,1),"")</f>
      </c>
    </row>
    <row r="32">
      <c r="A32" t="str">
        <v>BOLMATCUERCAF2L</v>
      </c>
      <c r="B32" t="str">
        <v>Bolso Matero Cafe 2 compartimientos Grande</v>
      </c>
      <c r="C32" t="str">
        <v>Materos</v>
      </c>
      <c r="D32">
        <v>1</v>
      </c>
      <c r="E32" t="str">
        <v/>
      </c>
      <c r="F32">
        <v>20000</v>
      </c>
      <c r="G32" t="str">
        <v>C</v>
      </c>
      <c r="H32" t="str">
        <v>REVISAR</v>
      </c>
      <c r="I32" s="1">
        <f>IF(AND(E32&gt;0,F32&gt;0),ROUND(100*(E32-F32)/F32,1),"")</f>
      </c>
    </row>
    <row r="33">
      <c r="A33" t="str">
        <v>BOLMATCUERNEG2L</v>
      </c>
      <c r="B33" t="str">
        <v>Bolso Matero Negro 2 compartimientos Grande</v>
      </c>
      <c r="C33" t="str">
        <v>Materos</v>
      </c>
      <c r="D33">
        <v>1</v>
      </c>
      <c r="E33" t="str">
        <v/>
      </c>
      <c r="F33">
        <v>20000</v>
      </c>
      <c r="G33" t="str">
        <v>C</v>
      </c>
      <c r="H33" t="str">
        <v>REVISAR</v>
      </c>
      <c r="I33" s="1">
        <f>IF(AND(E33&gt;0,F33&gt;0),ROUND(100*(E33-F33)/F33,1),"")</f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